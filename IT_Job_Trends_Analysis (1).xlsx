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90" yWindow="520" windowWidth="9280" windowHeight="5740"/>
  </bookViews>
  <sheets>
    <sheet name="IT Domain Overview" sheetId="1" r:id="rId1"/>
    <sheet name="Salary Comparison" sheetId="2" r:id="rId2"/>
    <sheet name="Skills &amp; Certifications" sheetId="3" r:id="rId3"/>
    <sheet name="Summary Dashboard" sheetId="4" r:id="rId4"/>
  </sheets>
  <calcPr calcId="144525"/>
</workbook>
</file>

<file path=xl/calcChain.xml><?xml version="1.0" encoding="utf-8"?>
<calcChain xmlns="http://schemas.openxmlformats.org/spreadsheetml/2006/main">
  <c r="B10" i="4" l="1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B9" i="4" s="1"/>
</calcChain>
</file>

<file path=xl/sharedStrings.xml><?xml version="1.0" encoding="utf-8"?>
<sst xmlns="http://schemas.openxmlformats.org/spreadsheetml/2006/main" count="193" uniqueCount="128">
  <si>
    <t>IT Domain Job Trends &amp; Scope Analysis 2024-2025</t>
  </si>
  <si>
    <t>Domain</t>
  </si>
  <si>
    <t>Trending Score
(1-10)</t>
  </si>
  <si>
    <t>Avg Salary (USD/yr)</t>
  </si>
  <si>
    <t>Job Openings
(Global, 000s)</t>
  </si>
  <si>
    <t>YoY Growth %</t>
  </si>
  <si>
    <t>Top Skills Required</t>
  </si>
  <si>
    <t>Demand Level</t>
  </si>
  <si>
    <t>Future Outlook</t>
  </si>
  <si>
    <t>Artificial Intelligence / ML</t>
  </si>
  <si>
    <t>Python, TensorFlow, PyTorch, LLMs</t>
  </si>
  <si>
    <t>Very High</t>
  </si>
  <si>
    <t>🚀 Explosive Growth</t>
  </si>
  <si>
    <t>Cloud Computing</t>
  </si>
  <si>
    <t>AWS, Azure, GCP, Terraform, K8s</t>
  </si>
  <si>
    <t>Cybersecurity</t>
  </si>
  <si>
    <t>SIEM, Ethical Hacking, Zero Trust</t>
  </si>
  <si>
    <t>Data Engineering</t>
  </si>
  <si>
    <t>Spark, Kafka, dbt, Airflow, SQL</t>
  </si>
  <si>
    <t>Data Science &amp; Analytics</t>
  </si>
  <si>
    <t>Python, R, SQL, Power BI, Tableau</t>
  </si>
  <si>
    <t>📈 Strong Growth</t>
  </si>
  <si>
    <t>DevOps / Platform Eng.</t>
  </si>
  <si>
    <t>Docker, Jenkins, GitLab, CI/CD</t>
  </si>
  <si>
    <t>Blockchain / Web3</t>
  </si>
  <si>
    <t>Solidity, Ethereum, Smart Contracts</t>
  </si>
  <si>
    <t>Medium</t>
  </si>
  <si>
    <t>📊 Moderate Growth</t>
  </si>
  <si>
    <t>Full Stack Development</t>
  </si>
  <si>
    <t>React, Node.js, TypeScript, REST</t>
  </si>
  <si>
    <t>High</t>
  </si>
  <si>
    <t>Mobile Development</t>
  </si>
  <si>
    <t>Swift, Kotlin, Flutter, React Native</t>
  </si>
  <si>
    <t>AR / VR / Metaverse</t>
  </si>
  <si>
    <t>Unity, Unreal Engine, OpenXR</t>
  </si>
  <si>
    <t>IoT Engineering</t>
  </si>
  <si>
    <t>MQTT, Embedded C, AWS IoT, Edge</t>
  </si>
  <si>
    <t>Medium-High</t>
  </si>
  <si>
    <t>Quantum Computing</t>
  </si>
  <si>
    <t>Qiskit, Q#, Linear Algebra</t>
  </si>
  <si>
    <t>Low (Emerging)</t>
  </si>
  <si>
    <t>🌱 Emerging</t>
  </si>
  <si>
    <t>Database Administration</t>
  </si>
  <si>
    <t>PostgreSQL, MongoDB, Oracle, Redis</t>
  </si>
  <si>
    <t>📊 Stable</t>
  </si>
  <si>
    <t>UI/UX Design (Tech)</t>
  </si>
  <si>
    <t>Figma, Adobe XD, User Research</t>
  </si>
  <si>
    <t>IT Project Management</t>
  </si>
  <si>
    <t>PMP, Agile, Scrum, JIRA</t>
  </si>
  <si>
    <t>Network Engineering</t>
  </si>
  <si>
    <t>Cisco, SD-WAN, BGP, Wireshark</t>
  </si>
  <si>
    <t>Robotics &amp; Automation</t>
  </si>
  <si>
    <t>ROS, Python, Computer Vision</t>
  </si>
  <si>
    <t>ERP / SAP Consulting</t>
  </si>
  <si>
    <t>SAP S/4HANA, Finance, Logistics</t>
  </si>
  <si>
    <t>Low-Code / No-Code Dev</t>
  </si>
  <si>
    <t>Power Platform, OutSystems, Appian</t>
  </si>
  <si>
    <t>Game Development</t>
  </si>
  <si>
    <t>Unity, Unreal, C++, Graphics APIs</t>
  </si>
  <si>
    <t>Low-Medium</t>
  </si>
  <si>
    <t>Salary Comparison by IT Domain &amp; Experience Level (USD/year)</t>
  </si>
  <si>
    <t>Entry Level</t>
  </si>
  <si>
    <t>Mid Level</t>
  </si>
  <si>
    <t>Senior Level</t>
  </si>
  <si>
    <t>Lead/Manager</t>
  </si>
  <si>
    <t>Avg All Levels</t>
  </si>
  <si>
    <t>AI / Machine Learning</t>
  </si>
  <si>
    <t>Data Science</t>
  </si>
  <si>
    <t>Blockchain</t>
  </si>
  <si>
    <t>UI/UX Design</t>
  </si>
  <si>
    <t>Top In-Demand Skills &amp; Certifications by IT Domain</t>
  </si>
  <si>
    <t>Must-Have Skills</t>
  </si>
  <si>
    <t>Top Certifications</t>
  </si>
  <si>
    <t>Difficulty</t>
  </si>
  <si>
    <t>Avg Time to Job-Ready</t>
  </si>
  <si>
    <t>AI / ML</t>
  </si>
  <si>
    <t>Python, ML Algorithms, Deep Learning, NLP</t>
  </si>
  <si>
    <t>Google ML Cert, AWS ML Specialty, TF Developer</t>
  </si>
  <si>
    <t>12-18 months</t>
  </si>
  <si>
    <t>AWS/Azure/GCP, Terraform, Kubernetes, Linux</t>
  </si>
  <si>
    <t>AWS SAA, AZ-900/104, GCP ACE</t>
  </si>
  <si>
    <t>6-12 months</t>
  </si>
  <si>
    <t>Networking, Linux, SIEM, Penetration Testing</t>
  </si>
  <si>
    <t>CISSP, CEH, CompTIA Security+, OSCP</t>
  </si>
  <si>
    <t>12-24 months</t>
  </si>
  <si>
    <t>SQL, Python, Spark, Kafka, dbt, Airflow</t>
  </si>
  <si>
    <t>Google Data Eng., Databricks Cert., dbt Cert.</t>
  </si>
  <si>
    <t>8-14 months</t>
  </si>
  <si>
    <t>Python/R, Statistics, ML, Tableau/Power BI</t>
  </si>
  <si>
    <t>IBM Data Science, Google Data Analytics</t>
  </si>
  <si>
    <t>9-15 months</t>
  </si>
  <si>
    <t>DevOps</t>
  </si>
  <si>
    <t>Docker, CI/CD, Git, Linux, Ansible</t>
  </si>
  <si>
    <t>CKA, AWS DevOps, AZ DevOps, Jenkins</t>
  </si>
  <si>
    <t>Full Stack</t>
  </si>
  <si>
    <t>React/Vue, Node.js, REST APIs, Databases</t>
  </si>
  <si>
    <t>Meta Frontend, freeCodeCamp, Microsoft</t>
  </si>
  <si>
    <t>Mobile Dev</t>
  </si>
  <si>
    <t>Swift/Kotlin or Flutter, APIs, Git</t>
  </si>
  <si>
    <t>Google Associate Android, Apple WWDC</t>
  </si>
  <si>
    <t>Cybersec (Ethical)</t>
  </si>
  <si>
    <t>Kali Linux, Burp Suite, Metasploit, TCP/IP</t>
  </si>
  <si>
    <t>CEH, OSCP, CompTIA PenTest+</t>
  </si>
  <si>
    <t>Solidity, Web3.js, Smart Contracts, DeFi</t>
  </si>
  <si>
    <t>Ethereum Developer, ConsenSys Bootcamp</t>
  </si>
  <si>
    <t>10-16 months</t>
  </si>
  <si>
    <t>IoT</t>
  </si>
  <si>
    <t>Embedded C, MQTT, Python, Edge Computing</t>
  </si>
  <si>
    <t>AWS IoT, Google IoT, Cisco IoT</t>
  </si>
  <si>
    <t>Figma, User Research, Prototyping, CSS</t>
  </si>
  <si>
    <t>Google UX Design Cert., Nielsen Norman</t>
  </si>
  <si>
    <t>Low-Med</t>
  </si>
  <si>
    <t>4-8 months</t>
  </si>
  <si>
    <t>IT Job Market – Quick Summary Dashboard</t>
  </si>
  <si>
    <t>Metric</t>
  </si>
  <si>
    <t>Value</t>
  </si>
  <si>
    <t>Total IT Domains Analyzed</t>
  </si>
  <si>
    <t>Highest Avg Salary Domain</t>
  </si>
  <si>
    <t>AI / ML ($135K)</t>
  </si>
  <si>
    <t>Fastest Growing Domain</t>
  </si>
  <si>
    <t>AI / ML (+45% YoY)</t>
  </si>
  <si>
    <t>Most Job Openings (Global)</t>
  </si>
  <si>
    <t>Full Stack (720K+)</t>
  </si>
  <si>
    <t>Easiest Entry Domain</t>
  </si>
  <si>
    <t>Most Future-Proof Domain</t>
  </si>
  <si>
    <t>AI / ML + Cloud</t>
  </si>
  <si>
    <t>Avg IT Salary (All Domains)</t>
  </si>
  <si>
    <t>Total Global IT Jobs (000s)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</si>
</sst>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#,##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0" xfId="0" applyFill="1"/>
    <xf numFmtId="0" fontId="2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pane ySplit="2" topLeftCell="A3" activePane="bottomLeft" state="frozen"/>
      <selection pane="bottomLeft" activeCell="F7" sqref="F7"/>
    </sheetView>
  </sheetViews>
  <sheetFormatPr defaultRowHeight="14.5" x14ac:dyDescent="0.35"/>
  <cols>
    <col min="1" max="1" width="28" customWidth="1"/>
    <col min="2" max="2" width="13" customWidth="1"/>
    <col min="3" max="3" width="20" customWidth="1"/>
    <col min="4" max="4" width="18" customWidth="1"/>
    <col min="5" max="5" width="13" customWidth="1"/>
    <col min="6" max="6" width="38" customWidth="1"/>
    <col min="7" max="7" width="16" customWidth="1"/>
    <col min="8" max="8" width="22" customWidth="1"/>
  </cols>
  <sheetData>
    <row r="1" spans="1:8" ht="35" customHeight="1" x14ac:dyDescent="0.35">
      <c r="A1" s="17" t="s">
        <v>0</v>
      </c>
      <c r="B1" s="18"/>
      <c r="C1" s="18"/>
      <c r="D1" s="18"/>
      <c r="E1" s="18"/>
      <c r="F1" s="18"/>
      <c r="G1" s="18"/>
      <c r="H1" s="18"/>
    </row>
    <row r="2" spans="1:8" ht="37" customHeight="1" x14ac:dyDescent="0.35">
      <c r="A2" s="19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</row>
    <row r="3" spans="1:8" ht="22" customHeight="1" x14ac:dyDescent="0.35">
      <c r="A3" s="1" t="s">
        <v>9</v>
      </c>
      <c r="B3" s="2">
        <v>10</v>
      </c>
      <c r="C3" s="2">
        <v>135000</v>
      </c>
      <c r="D3" s="2">
        <v>420</v>
      </c>
      <c r="E3" s="2">
        <v>45</v>
      </c>
      <c r="F3" s="1" t="s">
        <v>10</v>
      </c>
      <c r="G3" s="1" t="s">
        <v>11</v>
      </c>
      <c r="H3" s="1" t="s">
        <v>12</v>
      </c>
    </row>
    <row r="4" spans="1:8" ht="22" customHeight="1" x14ac:dyDescent="0.35">
      <c r="A4" s="20" t="s">
        <v>13</v>
      </c>
      <c r="B4" s="21">
        <v>10</v>
      </c>
      <c r="C4" s="21">
        <v>125000</v>
      </c>
      <c r="D4" s="21">
        <v>650</v>
      </c>
      <c r="E4" s="21">
        <v>38</v>
      </c>
      <c r="F4" s="20" t="s">
        <v>14</v>
      </c>
      <c r="G4" s="20" t="s">
        <v>11</v>
      </c>
      <c r="H4" s="20" t="s">
        <v>12</v>
      </c>
    </row>
    <row r="5" spans="1:8" ht="22" customHeight="1" x14ac:dyDescent="0.35">
      <c r="A5" s="1" t="s">
        <v>15</v>
      </c>
      <c r="B5" s="2">
        <v>9</v>
      </c>
      <c r="C5" s="2">
        <v>120000</v>
      </c>
      <c r="D5" s="2">
        <v>580</v>
      </c>
      <c r="E5" s="2">
        <v>35</v>
      </c>
      <c r="F5" s="1" t="s">
        <v>16</v>
      </c>
      <c r="G5" s="1" t="s">
        <v>11</v>
      </c>
      <c r="H5" s="1" t="s">
        <v>12</v>
      </c>
    </row>
    <row r="6" spans="1:8" ht="22" customHeight="1" x14ac:dyDescent="0.35">
      <c r="A6" s="20" t="s">
        <v>17</v>
      </c>
      <c r="B6" s="21">
        <v>9</v>
      </c>
      <c r="C6" s="21">
        <v>118000</v>
      </c>
      <c r="D6" s="21">
        <v>390</v>
      </c>
      <c r="E6" s="21">
        <v>40</v>
      </c>
      <c r="F6" s="20" t="s">
        <v>18</v>
      </c>
      <c r="G6" s="20" t="s">
        <v>11</v>
      </c>
      <c r="H6" s="20" t="s">
        <v>12</v>
      </c>
    </row>
    <row r="7" spans="1:8" ht="22" customHeight="1" x14ac:dyDescent="0.35">
      <c r="A7" s="1" t="s">
        <v>19</v>
      </c>
      <c r="B7" s="2">
        <v>9</v>
      </c>
      <c r="C7" s="2">
        <v>115000</v>
      </c>
      <c r="D7" s="2">
        <v>370</v>
      </c>
      <c r="E7" s="2">
        <v>33</v>
      </c>
      <c r="F7" s="1" t="s">
        <v>20</v>
      </c>
      <c r="G7" s="1" t="s">
        <v>11</v>
      </c>
      <c r="H7" s="1" t="s">
        <v>21</v>
      </c>
    </row>
    <row r="8" spans="1:8" ht="22" customHeight="1" x14ac:dyDescent="0.35">
      <c r="A8" s="20" t="s">
        <v>22</v>
      </c>
      <c r="B8" s="21">
        <v>9</v>
      </c>
      <c r="C8" s="21">
        <v>122000</v>
      </c>
      <c r="D8" s="21">
        <v>430</v>
      </c>
      <c r="E8" s="21">
        <v>37</v>
      </c>
      <c r="F8" s="20" t="s">
        <v>23</v>
      </c>
      <c r="G8" s="20" t="s">
        <v>11</v>
      </c>
      <c r="H8" s="20" t="s">
        <v>21</v>
      </c>
    </row>
    <row r="9" spans="1:8" ht="22" customHeight="1" x14ac:dyDescent="0.35">
      <c r="A9" s="1" t="s">
        <v>24</v>
      </c>
      <c r="B9" s="2">
        <v>7</v>
      </c>
      <c r="C9" s="2">
        <v>105000</v>
      </c>
      <c r="D9" s="2">
        <v>110</v>
      </c>
      <c r="E9" s="2">
        <v>18</v>
      </c>
      <c r="F9" s="1" t="s">
        <v>25</v>
      </c>
      <c r="G9" s="1" t="s">
        <v>26</v>
      </c>
      <c r="H9" s="1" t="s">
        <v>27</v>
      </c>
    </row>
    <row r="10" spans="1:8" ht="22" customHeight="1" x14ac:dyDescent="0.35">
      <c r="A10" s="20" t="s">
        <v>28</v>
      </c>
      <c r="B10" s="21">
        <v>8</v>
      </c>
      <c r="C10" s="21">
        <v>108000</v>
      </c>
      <c r="D10" s="21">
        <v>720</v>
      </c>
      <c r="E10" s="21">
        <v>25</v>
      </c>
      <c r="F10" s="20" t="s">
        <v>29</v>
      </c>
      <c r="G10" s="20" t="s">
        <v>30</v>
      </c>
      <c r="H10" s="20" t="s">
        <v>21</v>
      </c>
    </row>
    <row r="11" spans="1:8" ht="22" customHeight="1" x14ac:dyDescent="0.35">
      <c r="A11" s="1" t="s">
        <v>31</v>
      </c>
      <c r="B11" s="2">
        <v>8</v>
      </c>
      <c r="C11" s="2">
        <v>105000</v>
      </c>
      <c r="D11" s="2">
        <v>310</v>
      </c>
      <c r="E11" s="2">
        <v>22</v>
      </c>
      <c r="F11" s="1" t="s">
        <v>32</v>
      </c>
      <c r="G11" s="1" t="s">
        <v>30</v>
      </c>
      <c r="H11" s="1" t="s">
        <v>21</v>
      </c>
    </row>
    <row r="12" spans="1:8" ht="22" customHeight="1" x14ac:dyDescent="0.35">
      <c r="A12" s="20" t="s">
        <v>33</v>
      </c>
      <c r="B12" s="21">
        <v>6</v>
      </c>
      <c r="C12" s="21">
        <v>98000</v>
      </c>
      <c r="D12" s="21">
        <v>85</v>
      </c>
      <c r="E12" s="21">
        <v>20</v>
      </c>
      <c r="F12" s="20" t="s">
        <v>34</v>
      </c>
      <c r="G12" s="20" t="s">
        <v>26</v>
      </c>
      <c r="H12" s="20" t="s">
        <v>27</v>
      </c>
    </row>
    <row r="13" spans="1:8" ht="22" customHeight="1" x14ac:dyDescent="0.35">
      <c r="A13" s="1" t="s">
        <v>35</v>
      </c>
      <c r="B13" s="2">
        <v>7</v>
      </c>
      <c r="C13" s="2">
        <v>100000</v>
      </c>
      <c r="D13" s="2">
        <v>140</v>
      </c>
      <c r="E13" s="2">
        <v>24</v>
      </c>
      <c r="F13" s="1" t="s">
        <v>36</v>
      </c>
      <c r="G13" s="1" t="s">
        <v>37</v>
      </c>
      <c r="H13" s="1" t="s">
        <v>21</v>
      </c>
    </row>
    <row r="14" spans="1:8" ht="22" customHeight="1" x14ac:dyDescent="0.35">
      <c r="A14" s="20" t="s">
        <v>38</v>
      </c>
      <c r="B14" s="21">
        <v>6</v>
      </c>
      <c r="C14" s="21">
        <v>130000</v>
      </c>
      <c r="D14" s="21">
        <v>25</v>
      </c>
      <c r="E14" s="21">
        <v>30</v>
      </c>
      <c r="F14" s="20" t="s">
        <v>39</v>
      </c>
      <c r="G14" s="20" t="s">
        <v>40</v>
      </c>
      <c r="H14" s="20" t="s">
        <v>41</v>
      </c>
    </row>
    <row r="15" spans="1:8" ht="22" customHeight="1" x14ac:dyDescent="0.35">
      <c r="A15" s="1" t="s">
        <v>42</v>
      </c>
      <c r="B15" s="2">
        <v>7</v>
      </c>
      <c r="C15" s="2">
        <v>95000</v>
      </c>
      <c r="D15" s="2">
        <v>200</v>
      </c>
      <c r="E15" s="2">
        <v>12</v>
      </c>
      <c r="F15" s="1" t="s">
        <v>43</v>
      </c>
      <c r="G15" s="1" t="s">
        <v>26</v>
      </c>
      <c r="H15" s="1" t="s">
        <v>44</v>
      </c>
    </row>
    <row r="16" spans="1:8" ht="22" customHeight="1" x14ac:dyDescent="0.35">
      <c r="A16" s="20" t="s">
        <v>45</v>
      </c>
      <c r="B16" s="21">
        <v>7</v>
      </c>
      <c r="C16" s="21">
        <v>95000</v>
      </c>
      <c r="D16" s="21">
        <v>260</v>
      </c>
      <c r="E16" s="21">
        <v>18</v>
      </c>
      <c r="F16" s="20" t="s">
        <v>46</v>
      </c>
      <c r="G16" s="20" t="s">
        <v>37</v>
      </c>
      <c r="H16" s="20" t="s">
        <v>21</v>
      </c>
    </row>
    <row r="17" spans="1:8" ht="22" customHeight="1" x14ac:dyDescent="0.35">
      <c r="A17" s="1" t="s">
        <v>47</v>
      </c>
      <c r="B17" s="2">
        <v>7</v>
      </c>
      <c r="C17" s="2">
        <v>105000</v>
      </c>
      <c r="D17" s="2">
        <v>300</v>
      </c>
      <c r="E17" s="2">
        <v>15</v>
      </c>
      <c r="F17" s="1" t="s">
        <v>48</v>
      </c>
      <c r="G17" s="1" t="s">
        <v>37</v>
      </c>
      <c r="H17" s="1" t="s">
        <v>44</v>
      </c>
    </row>
    <row r="18" spans="1:8" ht="22" customHeight="1" x14ac:dyDescent="0.35">
      <c r="A18" s="20" t="s">
        <v>49</v>
      </c>
      <c r="B18" s="21">
        <v>7</v>
      </c>
      <c r="C18" s="21">
        <v>98000</v>
      </c>
      <c r="D18" s="21">
        <v>220</v>
      </c>
      <c r="E18" s="21">
        <v>10</v>
      </c>
      <c r="F18" s="20" t="s">
        <v>50</v>
      </c>
      <c r="G18" s="20" t="s">
        <v>26</v>
      </c>
      <c r="H18" s="20" t="s">
        <v>44</v>
      </c>
    </row>
    <row r="19" spans="1:8" ht="22" customHeight="1" x14ac:dyDescent="0.35">
      <c r="A19" s="1" t="s">
        <v>51</v>
      </c>
      <c r="B19" s="2">
        <v>7</v>
      </c>
      <c r="C19" s="2">
        <v>102000</v>
      </c>
      <c r="D19" s="2">
        <v>95</v>
      </c>
      <c r="E19" s="2">
        <v>28</v>
      </c>
      <c r="F19" s="1" t="s">
        <v>52</v>
      </c>
      <c r="G19" s="1" t="s">
        <v>37</v>
      </c>
      <c r="H19" s="1" t="s">
        <v>21</v>
      </c>
    </row>
    <row r="20" spans="1:8" ht="22" customHeight="1" x14ac:dyDescent="0.35">
      <c r="A20" s="20" t="s">
        <v>53</v>
      </c>
      <c r="B20" s="21">
        <v>6</v>
      </c>
      <c r="C20" s="21">
        <v>108000</v>
      </c>
      <c r="D20" s="21">
        <v>180</v>
      </c>
      <c r="E20" s="21">
        <v>8</v>
      </c>
      <c r="F20" s="20" t="s">
        <v>54</v>
      </c>
      <c r="G20" s="20" t="s">
        <v>26</v>
      </c>
      <c r="H20" s="20" t="s">
        <v>44</v>
      </c>
    </row>
    <row r="21" spans="1:8" ht="22" customHeight="1" x14ac:dyDescent="0.35">
      <c r="A21" s="1" t="s">
        <v>55</v>
      </c>
      <c r="B21" s="2">
        <v>6</v>
      </c>
      <c r="C21" s="2">
        <v>85000</v>
      </c>
      <c r="D21" s="2">
        <v>150</v>
      </c>
      <c r="E21" s="2">
        <v>20</v>
      </c>
      <c r="F21" s="1" t="s">
        <v>56</v>
      </c>
      <c r="G21" s="1" t="s">
        <v>26</v>
      </c>
      <c r="H21" s="1" t="s">
        <v>27</v>
      </c>
    </row>
    <row r="22" spans="1:8" ht="22" customHeight="1" x14ac:dyDescent="0.35">
      <c r="A22" s="20" t="s">
        <v>57</v>
      </c>
      <c r="B22" s="21">
        <v>5</v>
      </c>
      <c r="C22" s="21">
        <v>88000</v>
      </c>
      <c r="D22" s="21">
        <v>70</v>
      </c>
      <c r="E22" s="21">
        <v>10</v>
      </c>
      <c r="F22" s="20" t="s">
        <v>58</v>
      </c>
      <c r="G22" s="20" t="s">
        <v>59</v>
      </c>
      <c r="H22" s="20" t="s">
        <v>44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8" customWidth="1"/>
    <col min="2" max="6" width="16" customWidth="1"/>
  </cols>
  <sheetData>
    <row r="1" spans="1:6" ht="32" customHeight="1" x14ac:dyDescent="0.35">
      <c r="A1" s="16" t="s">
        <v>60</v>
      </c>
      <c r="B1" s="15"/>
      <c r="C1" s="15"/>
      <c r="D1" s="15"/>
      <c r="E1" s="15"/>
      <c r="F1" s="15"/>
    </row>
    <row r="2" spans="1:6" ht="25" customHeight="1" x14ac:dyDescent="0.35">
      <c r="A2" s="5" t="s">
        <v>1</v>
      </c>
      <c r="B2" s="5" t="s">
        <v>61</v>
      </c>
      <c r="C2" s="5" t="s">
        <v>62</v>
      </c>
      <c r="D2" s="5" t="s">
        <v>63</v>
      </c>
      <c r="E2" s="5" t="s">
        <v>64</v>
      </c>
      <c r="F2" s="5" t="s">
        <v>65</v>
      </c>
    </row>
    <row r="3" spans="1:6" ht="20" customHeight="1" x14ac:dyDescent="0.35">
      <c r="A3" s="1" t="s">
        <v>66</v>
      </c>
      <c r="B3" s="6">
        <v>75000</v>
      </c>
      <c r="C3" s="6">
        <v>110000</v>
      </c>
      <c r="D3" s="6">
        <v>155000</v>
      </c>
      <c r="E3" s="6">
        <v>185000</v>
      </c>
      <c r="F3" s="6">
        <f t="shared" ref="F3:F17" si="0">AVERAGE(B3:E3)</f>
        <v>131250</v>
      </c>
    </row>
    <row r="4" spans="1:6" ht="20" customHeight="1" x14ac:dyDescent="0.35">
      <c r="A4" s="3" t="s">
        <v>13</v>
      </c>
      <c r="B4" s="7">
        <v>70000</v>
      </c>
      <c r="C4" s="7">
        <v>105000</v>
      </c>
      <c r="D4" s="7">
        <v>145000</v>
      </c>
      <c r="E4" s="7">
        <v>175000</v>
      </c>
      <c r="F4" s="7">
        <f t="shared" si="0"/>
        <v>123750</v>
      </c>
    </row>
    <row r="5" spans="1:6" ht="20" customHeight="1" x14ac:dyDescent="0.35">
      <c r="A5" s="1" t="s">
        <v>15</v>
      </c>
      <c r="B5" s="6">
        <v>68000</v>
      </c>
      <c r="C5" s="6">
        <v>100000</v>
      </c>
      <c r="D5" s="6">
        <v>140000</v>
      </c>
      <c r="E5" s="6">
        <v>170000</v>
      </c>
      <c r="F5" s="6">
        <f t="shared" si="0"/>
        <v>119500</v>
      </c>
    </row>
    <row r="6" spans="1:6" ht="20" customHeight="1" x14ac:dyDescent="0.35">
      <c r="A6" s="3" t="s">
        <v>17</v>
      </c>
      <c r="B6" s="7">
        <v>72000</v>
      </c>
      <c r="C6" s="7">
        <v>108000</v>
      </c>
      <c r="D6" s="7">
        <v>140000</v>
      </c>
      <c r="E6" s="7">
        <v>168000</v>
      </c>
      <c r="F6" s="7">
        <f t="shared" si="0"/>
        <v>122000</v>
      </c>
    </row>
    <row r="7" spans="1:6" ht="20" customHeight="1" x14ac:dyDescent="0.35">
      <c r="A7" s="1" t="s">
        <v>67</v>
      </c>
      <c r="B7" s="6">
        <v>70000</v>
      </c>
      <c r="C7" s="6">
        <v>105000</v>
      </c>
      <c r="D7" s="6">
        <v>138000</v>
      </c>
      <c r="E7" s="6">
        <v>165000</v>
      </c>
      <c r="F7" s="6">
        <f t="shared" si="0"/>
        <v>119500</v>
      </c>
    </row>
    <row r="8" spans="1:6" ht="20" customHeight="1" x14ac:dyDescent="0.35">
      <c r="A8" s="3" t="s">
        <v>22</v>
      </c>
      <c r="B8" s="7">
        <v>72000</v>
      </c>
      <c r="C8" s="7">
        <v>108000</v>
      </c>
      <c r="D8" s="7">
        <v>145000</v>
      </c>
      <c r="E8" s="7">
        <v>172000</v>
      </c>
      <c r="F8" s="7">
        <f t="shared" si="0"/>
        <v>124250</v>
      </c>
    </row>
    <row r="9" spans="1:6" ht="20" customHeight="1" x14ac:dyDescent="0.35">
      <c r="A9" s="1" t="s">
        <v>28</v>
      </c>
      <c r="B9" s="6">
        <v>65000</v>
      </c>
      <c r="C9" s="6">
        <v>95000</v>
      </c>
      <c r="D9" s="6">
        <v>128000</v>
      </c>
      <c r="E9" s="6">
        <v>155000</v>
      </c>
      <c r="F9" s="6">
        <f t="shared" si="0"/>
        <v>110750</v>
      </c>
    </row>
    <row r="10" spans="1:6" ht="20" customHeight="1" x14ac:dyDescent="0.35">
      <c r="A10" s="3" t="s">
        <v>31</v>
      </c>
      <c r="B10" s="7">
        <v>63000</v>
      </c>
      <c r="C10" s="7">
        <v>92000</v>
      </c>
      <c r="D10" s="7">
        <v>125000</v>
      </c>
      <c r="E10" s="7">
        <v>150000</v>
      </c>
      <c r="F10" s="7">
        <f t="shared" si="0"/>
        <v>107500</v>
      </c>
    </row>
    <row r="11" spans="1:6" ht="20" customHeight="1" x14ac:dyDescent="0.35">
      <c r="A11" s="1" t="s">
        <v>68</v>
      </c>
      <c r="B11" s="6">
        <v>65000</v>
      </c>
      <c r="C11" s="6">
        <v>98000</v>
      </c>
      <c r="D11" s="6">
        <v>135000</v>
      </c>
      <c r="E11" s="6">
        <v>158000</v>
      </c>
      <c r="F11" s="6">
        <f t="shared" si="0"/>
        <v>114000</v>
      </c>
    </row>
    <row r="12" spans="1:6" ht="20" customHeight="1" x14ac:dyDescent="0.35">
      <c r="A12" s="3" t="s">
        <v>35</v>
      </c>
      <c r="B12" s="7">
        <v>62000</v>
      </c>
      <c r="C12" s="7">
        <v>88000</v>
      </c>
      <c r="D12" s="7">
        <v>118000</v>
      </c>
      <c r="E12" s="7">
        <v>142000</v>
      </c>
      <c r="F12" s="7">
        <f t="shared" si="0"/>
        <v>102500</v>
      </c>
    </row>
    <row r="13" spans="1:6" ht="20" customHeight="1" x14ac:dyDescent="0.35">
      <c r="A13" s="1" t="s">
        <v>49</v>
      </c>
      <c r="B13" s="6">
        <v>60000</v>
      </c>
      <c r="C13" s="6">
        <v>85000</v>
      </c>
      <c r="D13" s="6">
        <v>115000</v>
      </c>
      <c r="E13" s="6">
        <v>138000</v>
      </c>
      <c r="F13" s="6">
        <f t="shared" si="0"/>
        <v>99500</v>
      </c>
    </row>
    <row r="14" spans="1:6" ht="20" customHeight="1" x14ac:dyDescent="0.35">
      <c r="A14" s="3" t="s">
        <v>42</v>
      </c>
      <c r="B14" s="7">
        <v>58000</v>
      </c>
      <c r="C14" s="7">
        <v>82000</v>
      </c>
      <c r="D14" s="7">
        <v>112000</v>
      </c>
      <c r="E14" s="7">
        <v>132000</v>
      </c>
      <c r="F14" s="7">
        <f t="shared" si="0"/>
        <v>96000</v>
      </c>
    </row>
    <row r="15" spans="1:6" ht="20" customHeight="1" x14ac:dyDescent="0.35">
      <c r="A15" s="1" t="s">
        <v>69</v>
      </c>
      <c r="B15" s="6">
        <v>55000</v>
      </c>
      <c r="C15" s="6">
        <v>80000</v>
      </c>
      <c r="D15" s="6">
        <v>110000</v>
      </c>
      <c r="E15" s="6">
        <v>130000</v>
      </c>
      <c r="F15" s="6">
        <f t="shared" si="0"/>
        <v>93750</v>
      </c>
    </row>
    <row r="16" spans="1:6" ht="20" customHeight="1" x14ac:dyDescent="0.35">
      <c r="A16" s="3" t="s">
        <v>47</v>
      </c>
      <c r="B16" s="7">
        <v>60000</v>
      </c>
      <c r="C16" s="7">
        <v>88000</v>
      </c>
      <c r="D16" s="7">
        <v>118000</v>
      </c>
      <c r="E16" s="7">
        <v>145000</v>
      </c>
      <c r="F16" s="7">
        <f t="shared" si="0"/>
        <v>102750</v>
      </c>
    </row>
    <row r="17" spans="1:6" ht="20" customHeight="1" x14ac:dyDescent="0.35">
      <c r="A17" s="1" t="s">
        <v>38</v>
      </c>
      <c r="B17" s="6">
        <v>80000</v>
      </c>
      <c r="C17" s="6">
        <v>115000</v>
      </c>
      <c r="D17" s="6">
        <v>160000</v>
      </c>
      <c r="E17" s="6">
        <v>195000</v>
      </c>
      <c r="F17" s="6">
        <f t="shared" si="0"/>
        <v>137500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0" customWidth="1"/>
    <col min="2" max="3" width="42" customWidth="1"/>
    <col min="4" max="4" width="14" customWidth="1"/>
    <col min="5" max="5" width="20" customWidth="1"/>
  </cols>
  <sheetData>
    <row r="1" spans="1:5" ht="32" customHeight="1" x14ac:dyDescent="0.35">
      <c r="A1" s="16" t="s">
        <v>70</v>
      </c>
      <c r="B1" s="15"/>
      <c r="C1" s="15"/>
      <c r="D1" s="15"/>
      <c r="E1" s="15"/>
    </row>
    <row r="2" spans="1:5" ht="28" x14ac:dyDescent="0.35">
      <c r="A2" s="5" t="s">
        <v>1</v>
      </c>
      <c r="B2" s="5" t="s">
        <v>71</v>
      </c>
      <c r="C2" s="5" t="s">
        <v>72</v>
      </c>
      <c r="D2" s="5" t="s">
        <v>73</v>
      </c>
      <c r="E2" s="5" t="s">
        <v>74</v>
      </c>
    </row>
    <row r="3" spans="1:5" ht="22" customHeight="1" x14ac:dyDescent="0.35">
      <c r="A3" s="1" t="s">
        <v>75</v>
      </c>
      <c r="B3" s="1" t="s">
        <v>76</v>
      </c>
      <c r="C3" s="1" t="s">
        <v>77</v>
      </c>
      <c r="D3" s="2" t="s">
        <v>30</v>
      </c>
      <c r="E3" s="2" t="s">
        <v>78</v>
      </c>
    </row>
    <row r="4" spans="1:5" ht="22" customHeight="1" x14ac:dyDescent="0.35">
      <c r="A4" s="3" t="s">
        <v>13</v>
      </c>
      <c r="B4" s="3" t="s">
        <v>79</v>
      </c>
      <c r="C4" s="3" t="s">
        <v>80</v>
      </c>
      <c r="D4" s="4" t="s">
        <v>26</v>
      </c>
      <c r="E4" s="4" t="s">
        <v>81</v>
      </c>
    </row>
    <row r="5" spans="1:5" ht="22" customHeight="1" x14ac:dyDescent="0.35">
      <c r="A5" s="1" t="s">
        <v>15</v>
      </c>
      <c r="B5" s="1" t="s">
        <v>82</v>
      </c>
      <c r="C5" s="1" t="s">
        <v>83</v>
      </c>
      <c r="D5" s="2" t="s">
        <v>30</v>
      </c>
      <c r="E5" s="2" t="s">
        <v>84</v>
      </c>
    </row>
    <row r="6" spans="1:5" ht="22" customHeight="1" x14ac:dyDescent="0.35">
      <c r="A6" s="3" t="s">
        <v>17</v>
      </c>
      <c r="B6" s="3" t="s">
        <v>85</v>
      </c>
      <c r="C6" s="3" t="s">
        <v>86</v>
      </c>
      <c r="D6" s="4" t="s">
        <v>26</v>
      </c>
      <c r="E6" s="4" t="s">
        <v>87</v>
      </c>
    </row>
    <row r="7" spans="1:5" ht="22" customHeight="1" x14ac:dyDescent="0.35">
      <c r="A7" s="1" t="s">
        <v>67</v>
      </c>
      <c r="B7" s="1" t="s">
        <v>88</v>
      </c>
      <c r="C7" s="1" t="s">
        <v>89</v>
      </c>
      <c r="D7" s="2" t="s">
        <v>26</v>
      </c>
      <c r="E7" s="2" t="s">
        <v>90</v>
      </c>
    </row>
    <row r="8" spans="1:5" ht="22" customHeight="1" x14ac:dyDescent="0.35">
      <c r="A8" s="3" t="s">
        <v>91</v>
      </c>
      <c r="B8" s="3" t="s">
        <v>92</v>
      </c>
      <c r="C8" s="3" t="s">
        <v>93</v>
      </c>
      <c r="D8" s="4" t="s">
        <v>26</v>
      </c>
      <c r="E8" s="4" t="s">
        <v>81</v>
      </c>
    </row>
    <row r="9" spans="1:5" ht="22" customHeight="1" x14ac:dyDescent="0.35">
      <c r="A9" s="1" t="s">
        <v>94</v>
      </c>
      <c r="B9" s="1" t="s">
        <v>95</v>
      </c>
      <c r="C9" s="1" t="s">
        <v>96</v>
      </c>
      <c r="D9" s="2" t="s">
        <v>26</v>
      </c>
      <c r="E9" s="2" t="s">
        <v>87</v>
      </c>
    </row>
    <row r="10" spans="1:5" ht="22" customHeight="1" x14ac:dyDescent="0.35">
      <c r="A10" s="3" t="s">
        <v>97</v>
      </c>
      <c r="B10" s="3" t="s">
        <v>98</v>
      </c>
      <c r="C10" s="3" t="s">
        <v>99</v>
      </c>
      <c r="D10" s="4" t="s">
        <v>26</v>
      </c>
      <c r="E10" s="4" t="s">
        <v>81</v>
      </c>
    </row>
    <row r="11" spans="1:5" ht="22" customHeight="1" x14ac:dyDescent="0.35">
      <c r="A11" s="1" t="s">
        <v>100</v>
      </c>
      <c r="B11" s="1" t="s">
        <v>101</v>
      </c>
      <c r="C11" s="1" t="s">
        <v>102</v>
      </c>
      <c r="D11" s="2" t="s">
        <v>30</v>
      </c>
      <c r="E11" s="2" t="s">
        <v>78</v>
      </c>
    </row>
    <row r="12" spans="1:5" ht="22" customHeight="1" x14ac:dyDescent="0.35">
      <c r="A12" s="3" t="s">
        <v>68</v>
      </c>
      <c r="B12" s="3" t="s">
        <v>103</v>
      </c>
      <c r="C12" s="3" t="s">
        <v>104</v>
      </c>
      <c r="D12" s="4" t="s">
        <v>30</v>
      </c>
      <c r="E12" s="4" t="s">
        <v>105</v>
      </c>
    </row>
    <row r="13" spans="1:5" ht="22" customHeight="1" x14ac:dyDescent="0.35">
      <c r="A13" s="1" t="s">
        <v>106</v>
      </c>
      <c r="B13" s="1" t="s">
        <v>107</v>
      </c>
      <c r="C13" s="1" t="s">
        <v>108</v>
      </c>
      <c r="D13" s="2" t="s">
        <v>26</v>
      </c>
      <c r="E13" s="2" t="s">
        <v>87</v>
      </c>
    </row>
    <row r="14" spans="1:5" ht="22" customHeight="1" x14ac:dyDescent="0.35">
      <c r="A14" s="3" t="s">
        <v>69</v>
      </c>
      <c r="B14" s="3" t="s">
        <v>109</v>
      </c>
      <c r="C14" s="3" t="s">
        <v>110</v>
      </c>
      <c r="D14" s="4" t="s">
        <v>111</v>
      </c>
      <c r="E14" s="4" t="s">
        <v>112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4.5" x14ac:dyDescent="0.35"/>
  <cols>
    <col min="1" max="1" width="35" customWidth="1"/>
    <col min="2" max="2" width="30" customWidth="1"/>
  </cols>
  <sheetData>
    <row r="1" spans="1:4" ht="32" customHeight="1" x14ac:dyDescent="0.35">
      <c r="A1" s="16" t="s">
        <v>113</v>
      </c>
      <c r="B1" s="15"/>
      <c r="C1" s="15"/>
      <c r="D1" s="15"/>
    </row>
    <row r="2" spans="1:4" x14ac:dyDescent="0.35">
      <c r="A2" s="8" t="s">
        <v>114</v>
      </c>
      <c r="B2" s="8" t="s">
        <v>115</v>
      </c>
    </row>
    <row r="3" spans="1:4" ht="22" customHeight="1" x14ac:dyDescent="0.35">
      <c r="A3" s="9" t="s">
        <v>116</v>
      </c>
      <c r="B3" s="10">
        <v>20</v>
      </c>
    </row>
    <row r="4" spans="1:4" ht="22" customHeight="1" x14ac:dyDescent="0.35">
      <c r="A4" s="11" t="s">
        <v>117</v>
      </c>
      <c r="B4" s="12" t="s">
        <v>118</v>
      </c>
    </row>
    <row r="5" spans="1:4" ht="22" customHeight="1" x14ac:dyDescent="0.35">
      <c r="A5" s="9" t="s">
        <v>119</v>
      </c>
      <c r="B5" s="10" t="s">
        <v>120</v>
      </c>
    </row>
    <row r="6" spans="1:4" ht="22" customHeight="1" x14ac:dyDescent="0.35">
      <c r="A6" s="11" t="s">
        <v>121</v>
      </c>
      <c r="B6" s="12" t="s">
        <v>122</v>
      </c>
    </row>
    <row r="7" spans="1:4" ht="22" customHeight="1" x14ac:dyDescent="0.35">
      <c r="A7" s="9" t="s">
        <v>123</v>
      </c>
      <c r="B7" s="10" t="s">
        <v>69</v>
      </c>
    </row>
    <row r="8" spans="1:4" ht="22" customHeight="1" x14ac:dyDescent="0.35">
      <c r="A8" s="11" t="s">
        <v>124</v>
      </c>
      <c r="B8" s="12" t="s">
        <v>125</v>
      </c>
    </row>
    <row r="9" spans="1:4" ht="22" customHeight="1" x14ac:dyDescent="0.35">
      <c r="A9" s="9" t="s">
        <v>126</v>
      </c>
      <c r="B9" s="13">
        <f>AVERAGE('Salary Comparison'!F3:F17)</f>
        <v>113633.33333333333</v>
      </c>
    </row>
    <row r="10" spans="1:4" ht="22" customHeight="1" x14ac:dyDescent="0.35">
      <c r="A10" s="11" t="s">
        <v>127</v>
      </c>
      <c r="B10" s="14">
        <f>SUM('IT Domain Overview'!D3:D22)</f>
        <v>5705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 Domain Overview</vt:lpstr>
      <vt:lpstr>Salary Comparison</vt:lpstr>
      <vt:lpstr>Skills &amp; Certifications</vt:lpstr>
      <vt:lpstr>Summary 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2026-05-31T07:00:52Z</dcterms:created>
  <dcterms:modified xsi:type="dcterms:W3CDTF">2026-05-31T07:08:54Z</dcterms:modified>
</cp:coreProperties>
</file>